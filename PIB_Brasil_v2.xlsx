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gbent-my.sharepoint.com/personal/eduardo_diamandis_zennohglobal_com/Documents/ZGC-PBI Research - Documents/Dataset Data Files/Weather_maps/"/>
    </mc:Choice>
  </mc:AlternateContent>
  <xr:revisionPtr revIDLastSave="70" documentId="11_F37763B38E9F6304BDFCAC06225064B5EB9AE21C" xr6:coauthVersionLast="47" xr6:coauthVersionMax="47" xr10:uidLastSave="{E4F66823-7942-4E55-954A-E0FE4095D512}"/>
  <bookViews>
    <workbookView xWindow="-28920" yWindow="-15" windowWidth="29040" windowHeight="15720" tabRatio="500" xr2:uid="{00000000-000D-0000-FFFF-FFFF00000000}"/>
  </bookViews>
  <sheets>
    <sheet name="PIB Brasil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15" i="2"/>
  <c r="B14" i="2"/>
  <c r="B13" i="2"/>
</calcChain>
</file>

<file path=xl/sharedStrings.xml><?xml version="1.0" encoding="utf-8"?>
<sst xmlns="http://schemas.openxmlformats.org/spreadsheetml/2006/main" count="110" uniqueCount="43">
  <si>
    <t>PIB Brasil — Variação Real Anual (%)</t>
  </si>
  <si>
    <t>Ano</t>
  </si>
  <si>
    <t>Var. PIB (%)</t>
  </si>
  <si>
    <t>Tipo</t>
  </si>
  <si>
    <t>Fonte</t>
  </si>
  <si>
    <t>Focus (%)</t>
  </si>
  <si>
    <t>FMI WEO (%)</t>
  </si>
  <si>
    <t>Realizado</t>
  </si>
  <si>
    <t>IBGE — SCN</t>
  </si>
  <si>
    <t>—</t>
  </si>
  <si>
    <t>▼  Projeções</t>
  </si>
  <si>
    <t>Projeção</t>
  </si>
  <si>
    <t>BCB — Boletim Focus</t>
  </si>
  <si>
    <t>n/d*</t>
  </si>
  <si>
    <t>n/d</t>
  </si>
  <si>
    <t xml:space="preserve">Histórico: IBGE (SCN)  |  Projeção Focus: BCB (13/04/2026)  |  Projeção FMI: WEO Abril 2026 </t>
  </si>
  <si>
    <t xml:space="preserve"> </t>
  </si>
  <si>
    <t>Método</t>
  </si>
  <si>
    <t>Média Simples
(Focus 2026–2029)</t>
  </si>
  <si>
    <t>Tendência Linear
(FORECAST / Focus)</t>
  </si>
  <si>
    <t>Média Ponderada
(mais peso p/ anos recentes)</t>
  </si>
  <si>
    <t>Projeção do PIB Brasil para 2030 — Modelos Estatísticos</t>
  </si>
  <si>
    <t>Base: Projeções Focus (2026–2029) + FMI WEO Abr/2026 (2026–2027)  |  Apenas referência — não substitui fontes oficiais</t>
  </si>
  <si>
    <t>1 │ Base de Dados — Projeções Focus (BCB)</t>
  </si>
  <si>
    <t>FMI (%)</t>
  </si>
  <si>
    <t>2 │ Modelos de Projeção para 2030</t>
  </si>
  <si>
    <t>Projeção 2030</t>
  </si>
  <si>
    <t>Fórmula usada</t>
  </si>
  <si>
    <t>Como interpretar</t>
  </si>
  <si>
    <t>Assume que 2030 segue a
média dos 4 anos projetados</t>
  </si>
  <si>
    <t>Projeta seguindo a inclinação
da série (regressão linear)</t>
  </si>
  <si>
    <t>(B6x1 + B7x2 + B8x3 + B9x4) / 10</t>
  </si>
  <si>
    <t>2029 vale 4x mais que 2026,
prioriza tendência recente</t>
  </si>
  <si>
    <t>3 │ Resumo — Projeções 2030</t>
  </si>
  <si>
    <t>Confiança</t>
  </si>
  <si>
    <t>Recomendação de uso</t>
  </si>
  <si>
    <t>Média Simples</t>
  </si>
  <si>
    <t>Moderada</t>
  </si>
  <si>
    <t>Referência rápida</t>
  </si>
  <si>
    <t>Tendência Linear</t>
  </si>
  <si>
    <t>Melhor para série com tendência clara</t>
  </si>
  <si>
    <t>Média Ponderada</t>
  </si>
  <si>
    <t>Melhor quando série está acelerando/desacelerando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</si>
</sst>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1A5276"/>
      <name val="Arial"/>
      <charset val="1"/>
    </font>
    <font>
      <sz val="10"/>
      <color rgb="FFAAAAAA"/>
      <name val="Arial"/>
      <charset val="1"/>
    </font>
    <font>
      <b/>
      <sz val="10"/>
      <color rgb="FFC0392B"/>
      <name val="Arial"/>
      <charset val="1"/>
    </font>
    <font>
      <b/>
      <sz val="10"/>
      <color rgb="FF145A32"/>
      <name val="Arial"/>
      <charset val="1"/>
    </font>
    <font>
      <b/>
      <sz val="10"/>
      <color rgb="FF4A235A"/>
      <name val="Arial"/>
      <charset val="1"/>
    </font>
    <font>
      <i/>
      <sz val="8"/>
      <color rgb="FF777777"/>
      <name val="Arial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AAAAAA"/>
      <name val="Arial"/>
      <family val="2"/>
    </font>
    <font>
      <b/>
      <sz val="10"/>
      <color rgb="FF145A32"/>
      <name val="Arial"/>
      <family val="2"/>
    </font>
    <font>
      <b/>
      <sz val="10"/>
      <color rgb="FF4A235A"/>
      <name val="Arial"/>
      <family val="2"/>
    </font>
    <font>
      <b/>
      <sz val="13"/>
      <color rgb="FFFFFFFF"/>
      <name val="Arial"/>
      <family val="2"/>
    </font>
    <font>
      <i/>
      <sz val="8"/>
      <color rgb="FF595959"/>
      <name val="Arial"/>
      <family val="2"/>
    </font>
    <font>
      <b/>
      <sz val="10"/>
      <color rgb="FF784212"/>
      <name val="Arial"/>
      <family val="2"/>
    </font>
    <font>
      <b/>
      <sz val="11"/>
      <color rgb="FF784212"/>
      <name val="Arial"/>
      <family val="2"/>
    </font>
    <font>
      <sz val="9"/>
      <color rgb="FF555555"/>
      <name val="Courier New"/>
      <family val="3"/>
    </font>
    <font>
      <sz val="10"/>
      <color rgb="FF555555"/>
      <name val="Arial"/>
      <family val="2"/>
    </font>
    <font>
      <b/>
      <sz val="10"/>
      <color rgb="FF000000"/>
      <name val="Arial"/>
      <family val="2"/>
    </font>
    <font>
      <b/>
      <sz val="11"/>
      <color rgb="FF1A5276"/>
      <name val="Arial"/>
      <family val="2"/>
    </font>
    <font>
      <sz val="10"/>
      <color rgb="FFE67E22"/>
      <name val="Arial"/>
      <family val="2"/>
    </font>
    <font>
      <i/>
      <sz val="8"/>
      <color rgb="FFE74C3C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145A32"/>
        <bgColor rgb="FF1A5276"/>
      </patternFill>
    </fill>
    <fill>
      <patternFill patternType="solid">
        <fgColor rgb="FF4A235A"/>
        <bgColor rgb="FF2C3E50"/>
      </patternFill>
    </fill>
    <fill>
      <patternFill patternType="solid">
        <fgColor rgb="FFEBF5FB"/>
        <bgColor rgb="FFEAFAF1"/>
      </patternFill>
    </fill>
    <fill>
      <patternFill patternType="solid">
        <fgColor rgb="FFFFFFFF"/>
        <bgColor rgb="FFF9F9F9"/>
      </patternFill>
    </fill>
    <fill>
      <patternFill patternType="solid">
        <fgColor rgb="FF2C3E50"/>
        <bgColor rgb="FF1F4E79"/>
      </patternFill>
    </fill>
    <fill>
      <patternFill patternType="solid">
        <fgColor rgb="FFEAFAF1"/>
        <bgColor rgb="FFEBF5FB"/>
      </patternFill>
    </fill>
    <fill>
      <patternFill patternType="solid">
        <fgColor rgb="FFD5F5E3"/>
        <bgColor rgb="FFEAFAF1"/>
      </patternFill>
    </fill>
    <fill>
      <patternFill patternType="solid">
        <fgColor rgb="FF784212"/>
        <bgColor rgb="FF555555"/>
      </patternFill>
    </fill>
    <fill>
      <patternFill patternType="solid">
        <fgColor rgb="FFFEF9E7"/>
        <bgColor rgb="FFFDF2E9"/>
      </patternFill>
    </fill>
    <fill>
      <patternFill patternType="solid">
        <fgColor rgb="FFFDF2E9"/>
        <bgColor rgb="FFFEF9E7"/>
      </patternFill>
    </fill>
    <fill>
      <patternFill patternType="solid">
        <fgColor rgb="FFFDEBD0"/>
        <bgColor rgb="FFFDF2E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0" fillId="0" borderId="2" xfId="0" applyFont="1" applyBorder="1" applyAlignment="1">
      <alignment horizontal="left" vertical="center" wrapText="1" indent="1"/>
    </xf>
    <xf numFmtId="0" fontId="3" fillId="7" borderId="2" xfId="0" applyFont="1" applyFill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0" fontId="8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10" fontId="9" fillId="8" borderId="1" xfId="0" applyNumberFormat="1" applyFont="1" applyFill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center" vertical="center"/>
    </xf>
    <xf numFmtId="10" fontId="8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0" fontId="9" fillId="9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0" fillId="0" borderId="0" xfId="0"/>
    <xf numFmtId="0" fontId="17" fillId="0" borderId="0" xfId="0" applyFont="1" applyAlignment="1">
      <alignment horizontal="center" vertical="center"/>
    </xf>
    <xf numFmtId="0" fontId="11" fillId="3" borderId="2" xfId="0" applyFont="1" applyFill="1" applyBorder="1" applyAlignment="1">
      <alignment horizontal="left" vertical="center" indent="1"/>
    </xf>
    <xf numFmtId="0" fontId="11" fillId="10" borderId="2" xfId="0" applyFont="1" applyFill="1" applyBorder="1" applyAlignment="1">
      <alignment horizontal="left" vertical="center" indent="1"/>
    </xf>
    <xf numFmtId="0" fontId="11" fillId="2" borderId="2" xfId="0" applyFont="1" applyFill="1" applyBorder="1" applyAlignment="1">
      <alignment horizontal="left" vertical="center" indent="1"/>
    </xf>
    <xf numFmtId="0" fontId="25" fillId="0" borderId="2" xfId="0" applyFont="1" applyBorder="1" applyAlignment="1">
      <alignment horizontal="left" vertical="center" wrapText="1" indent="1"/>
    </xf>
    <xf numFmtId="0" fontId="0" fillId="0" borderId="0" xfId="0"/>
    <xf numFmtId="1" fontId="12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0" fontId="14" fillId="5" borderId="1" xfId="0" applyNumberFormat="1" applyFont="1" applyFill="1" applyBorder="1" applyAlignment="1">
      <alignment horizontal="center" vertical="center"/>
    </xf>
    <xf numFmtId="10" fontId="15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10" fontId="14" fillId="6" borderId="1" xfId="0" applyNumberFormat="1" applyFont="1" applyFill="1" applyBorder="1" applyAlignment="1">
      <alignment horizontal="center" vertical="center"/>
    </xf>
    <xf numFmtId="10" fontId="15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11" fillId="10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 indent="1"/>
    </xf>
    <xf numFmtId="10" fontId="19" fillId="11" borderId="1" xfId="0" applyNumberFormat="1" applyFont="1" applyFill="1" applyBorder="1" applyAlignment="1">
      <alignment horizontal="center" vertical="center"/>
    </xf>
    <xf numFmtId="10" fontId="20" fillId="11" borderId="1" xfId="0" applyNumberFormat="1" applyFont="1" applyFill="1" applyBorder="1" applyAlignment="1">
      <alignment horizontal="left" vertical="center" wrapText="1" indent="1"/>
    </xf>
    <xf numFmtId="0" fontId="21" fillId="11" borderId="1" xfId="0" applyFont="1" applyFill="1" applyBorder="1" applyAlignment="1">
      <alignment horizontal="left" vertical="center" wrapText="1" indent="1"/>
    </xf>
    <xf numFmtId="0" fontId="0" fillId="11" borderId="1" xfId="0" applyFill="1" applyBorder="1"/>
    <xf numFmtId="0" fontId="18" fillId="12" borderId="1" xfId="0" applyFont="1" applyFill="1" applyBorder="1" applyAlignment="1">
      <alignment horizontal="left" vertical="center" wrapText="1" indent="1"/>
    </xf>
    <xf numFmtId="10" fontId="19" fillId="12" borderId="1" xfId="0" applyNumberFormat="1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 wrapText="1" indent="1"/>
    </xf>
    <xf numFmtId="0" fontId="21" fillId="12" borderId="1" xfId="0" applyFont="1" applyFill="1" applyBorder="1" applyAlignment="1">
      <alignment horizontal="left" vertical="center" wrapText="1" indent="1"/>
    </xf>
    <xf numFmtId="0" fontId="0" fillId="12" borderId="1" xfId="0" applyFill="1" applyBorder="1"/>
    <xf numFmtId="0" fontId="18" fillId="13" borderId="1" xfId="0" applyFont="1" applyFill="1" applyBorder="1" applyAlignment="1">
      <alignment horizontal="left" vertical="center" wrapText="1" indent="1"/>
    </xf>
    <xf numFmtId="10" fontId="19" fillId="13" borderId="1" xfId="0" applyNumberFormat="1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left" vertical="center" wrapText="1" indent="1"/>
    </xf>
    <xf numFmtId="0" fontId="21" fillId="13" borderId="1" xfId="0" applyFont="1" applyFill="1" applyBorder="1" applyAlignment="1">
      <alignment horizontal="left" vertical="center" wrapText="1" indent="1"/>
    </xf>
    <xf numFmtId="0" fontId="0" fillId="13" borderId="1" xfId="0" applyFill="1" applyBorder="1"/>
    <xf numFmtId="0" fontId="22" fillId="5" borderId="1" xfId="0" applyFont="1" applyFill="1" applyBorder="1" applyAlignment="1">
      <alignment horizontal="center" vertical="center"/>
    </xf>
    <xf numFmtId="10" fontId="23" fillId="5" borderId="1" xfId="0" applyNumberFormat="1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/>
    </xf>
    <xf numFmtId="0" fontId="22" fillId="6" borderId="1" xfId="0" applyFont="1" applyFill="1" applyBorder="1" applyAlignment="1">
      <alignment horizontal="center" vertical="center"/>
    </xf>
    <xf numFmtId="10" fontId="23" fillId="6" borderId="1" xfId="0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808000"/>
      <rgbColor rgb="FF800080"/>
      <rgbColor rgb="FF008080"/>
      <rgbColor rgb="FFBFBFBF"/>
      <rgbColor rgb="FF878787"/>
      <rgbColor rgb="FF9999FF"/>
      <rgbColor rgb="FF595959"/>
      <rgbColor rgb="FFF9F9F9"/>
      <rgbColor rgb="FFEAFAF1"/>
      <rgbColor rgb="FF4A235A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777777"/>
      <rgbColor rgb="FFAAAAAA"/>
      <rgbColor rgb="FF1A5276"/>
      <rgbColor rgb="FF339966"/>
      <rgbColor rgb="FF003300"/>
      <rgbColor rgb="FF333300"/>
      <rgbColor rgb="FFC0392B"/>
      <rgbColor rgb="FF993366"/>
      <rgbColor rgb="FF1F4E7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PIB Brasil — Variação Real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'PIB Brasil'!$A$5:$A$23</c:f>
              <c:strCache>
                <c:ptCount val="1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▼  Projeções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</c:strCache>
            </c:strRef>
          </c:cat>
          <c:val>
            <c:numRef>
              <c:f>'PIB Brasil'!$B$5:$B$23</c:f>
              <c:numCache>
                <c:formatCode>0.0%</c:formatCode>
                <c:ptCount val="19"/>
                <c:pt idx="0">
                  <c:v>2.3E-2</c:v>
                </c:pt>
                <c:pt idx="1">
                  <c:v>5.0000000000000001E-3</c:v>
                </c:pt>
                <c:pt idx="2">
                  <c:v>-3.5000000000000003E-2</c:v>
                </c:pt>
                <c:pt idx="3">
                  <c:v>-3.3000000000000002E-2</c:v>
                </c:pt>
                <c:pt idx="4">
                  <c:v>1.2999999999999999E-2</c:v>
                </c:pt>
                <c:pt idx="5">
                  <c:v>1.7999999999999999E-2</c:v>
                </c:pt>
                <c:pt idx="6">
                  <c:v>1.2E-2</c:v>
                </c:pt>
                <c:pt idx="7">
                  <c:v>-3.9E-2</c:v>
                </c:pt>
                <c:pt idx="8">
                  <c:v>4.8000000000000001E-2</c:v>
                </c:pt>
                <c:pt idx="9">
                  <c:v>0.03</c:v>
                </c:pt>
                <c:pt idx="10">
                  <c:v>3.2000000000000001E-2</c:v>
                </c:pt>
                <c:pt idx="11">
                  <c:v>3.4000000000000002E-2</c:v>
                </c:pt>
                <c:pt idx="12">
                  <c:v>2.3E-2</c:v>
                </c:pt>
                <c:pt idx="14" formatCode="0.00%">
                  <c:v>1.8499999999999999E-2</c:v>
                </c:pt>
                <c:pt idx="15" formatCode="0.00%">
                  <c:v>1.7999999999999999E-2</c:v>
                </c:pt>
                <c:pt idx="16" formatCode="0.00%">
                  <c:v>0.02</c:v>
                </c:pt>
                <c:pt idx="17" formatCode="0.00%">
                  <c:v>0.02</c:v>
                </c:pt>
                <c:pt idx="18" formatCode="0.00%">
                  <c:v>2.0750000000000046E-2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7-42DA-91A5-EAB4B2C03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57582"/>
        <c:axId val="62269082"/>
      </c:barChart>
      <c:catAx>
        <c:axId val="105575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2269082"/>
        <c:crosses val="autoZero"/>
        <c:auto val="1"/>
        <c:lblAlgn val="ctr"/>
        <c:lblOffset val="100"/>
        <c:noMultiLvlLbl val="0"/>
      </c:catAx>
      <c:valAx>
        <c:axId val="622690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0557582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26</xdr:row>
      <xdr:rowOff>28575</xdr:rowOff>
    </xdr:from>
    <xdr:to>
      <xdr:col>14</xdr:col>
      <xdr:colOff>511110</xdr:colOff>
      <xdr:row>52</xdr:row>
      <xdr:rowOff>134385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19" zoomScaleNormal="100" workbookViewId="0">
      <selection activeCell="V37" sqref="V37"/>
    </sheetView>
  </sheetViews>
  <sheetFormatPr defaultColWidth="8.6640625" defaultRowHeight="14.4" x14ac:dyDescent="0.3"/>
  <cols>
    <col min="1" max="1" width="9" customWidth="1"/>
    <col min="2" max="2" width="16" customWidth="1"/>
    <col min="3" max="3" width="13" customWidth="1"/>
    <col min="4" max="4" width="26" customWidth="1"/>
    <col min="5" max="5" width="14" customWidth="1"/>
    <col min="6" max="6" width="16" customWidth="1"/>
  </cols>
  <sheetData>
    <row r="1" spans="1:6" ht="30" customHeight="1" x14ac:dyDescent="0.3">
      <c r="A1" s="4" t="s">
        <v>0</v>
      </c>
      <c r="B1" s="4"/>
      <c r="C1" s="4"/>
      <c r="D1" s="4"/>
      <c r="E1" s="4"/>
      <c r="F1" s="4"/>
    </row>
    <row r="2" spans="1:6" ht="15.75" customHeight="1" x14ac:dyDescent="0.3">
      <c r="A2" s="3" t="s">
        <v>15</v>
      </c>
      <c r="B2" s="3"/>
      <c r="C2" s="3"/>
      <c r="D2" s="3"/>
      <c r="E2" s="3"/>
      <c r="F2" s="3"/>
    </row>
    <row r="3" spans="1:6" ht="6" customHeight="1" x14ac:dyDescent="0.3">
      <c r="A3" t="s">
        <v>16</v>
      </c>
    </row>
    <row r="4" spans="1:6" ht="21.75" customHeight="1" x14ac:dyDescent="0.3">
      <c r="A4" s="5" t="s">
        <v>16</v>
      </c>
      <c r="B4" s="5" t="s">
        <v>2</v>
      </c>
      <c r="C4" s="5" t="s">
        <v>3</v>
      </c>
      <c r="D4" s="5" t="s">
        <v>4</v>
      </c>
      <c r="E4" s="6" t="s">
        <v>5</v>
      </c>
      <c r="F4" s="7" t="s">
        <v>6</v>
      </c>
    </row>
    <row r="5" spans="1:6" s="39" customFormat="1" ht="18" customHeight="1" x14ac:dyDescent="0.3">
      <c r="A5" s="8">
        <v>2013</v>
      </c>
      <c r="B5" s="9">
        <v>2.3E-2</v>
      </c>
      <c r="C5" s="10" t="s">
        <v>7</v>
      </c>
      <c r="D5" s="11" t="s">
        <v>8</v>
      </c>
      <c r="E5" s="12" t="s">
        <v>9</v>
      </c>
      <c r="F5" s="12" t="s">
        <v>9</v>
      </c>
    </row>
    <row r="6" spans="1:6" ht="18" customHeight="1" x14ac:dyDescent="0.3">
      <c r="A6" s="8">
        <v>2014</v>
      </c>
      <c r="B6" s="9">
        <v>5.0000000000000001E-3</v>
      </c>
      <c r="C6" s="10" t="s">
        <v>7</v>
      </c>
      <c r="D6" s="11" t="s">
        <v>8</v>
      </c>
      <c r="E6" s="12" t="s">
        <v>9</v>
      </c>
      <c r="F6" s="12" t="s">
        <v>9</v>
      </c>
    </row>
    <row r="7" spans="1:6" ht="18" customHeight="1" x14ac:dyDescent="0.3">
      <c r="A7" s="13">
        <v>2015</v>
      </c>
      <c r="B7" s="14">
        <v>-3.5000000000000003E-2</v>
      </c>
      <c r="C7" s="15" t="s">
        <v>7</v>
      </c>
      <c r="D7" s="16" t="s">
        <v>8</v>
      </c>
      <c r="E7" s="17" t="s">
        <v>9</v>
      </c>
      <c r="F7" s="17" t="s">
        <v>9</v>
      </c>
    </row>
    <row r="8" spans="1:6" ht="18" customHeight="1" x14ac:dyDescent="0.3">
      <c r="A8" s="8">
        <v>2016</v>
      </c>
      <c r="B8" s="18">
        <v>-3.3000000000000002E-2</v>
      </c>
      <c r="C8" s="10" t="s">
        <v>7</v>
      </c>
      <c r="D8" s="11" t="s">
        <v>8</v>
      </c>
      <c r="E8" s="12" t="s">
        <v>9</v>
      </c>
      <c r="F8" s="12" t="s">
        <v>9</v>
      </c>
    </row>
    <row r="9" spans="1:6" ht="18" customHeight="1" x14ac:dyDescent="0.3">
      <c r="A9" s="13">
        <v>2017</v>
      </c>
      <c r="B9" s="19">
        <v>1.2999999999999999E-2</v>
      </c>
      <c r="C9" s="15" t="s">
        <v>7</v>
      </c>
      <c r="D9" s="16" t="s">
        <v>8</v>
      </c>
      <c r="E9" s="17" t="s">
        <v>9</v>
      </c>
      <c r="F9" s="17" t="s">
        <v>9</v>
      </c>
    </row>
    <row r="10" spans="1:6" ht="18" customHeight="1" x14ac:dyDescent="0.3">
      <c r="A10" s="8">
        <v>2018</v>
      </c>
      <c r="B10" s="9">
        <v>1.7999999999999999E-2</v>
      </c>
      <c r="C10" s="10" t="s">
        <v>7</v>
      </c>
      <c r="D10" s="11" t="s">
        <v>8</v>
      </c>
      <c r="E10" s="12" t="s">
        <v>9</v>
      </c>
      <c r="F10" s="12" t="s">
        <v>9</v>
      </c>
    </row>
    <row r="11" spans="1:6" ht="18" customHeight="1" x14ac:dyDescent="0.3">
      <c r="A11" s="13">
        <v>2019</v>
      </c>
      <c r="B11" s="19">
        <v>1.2E-2</v>
      </c>
      <c r="C11" s="15" t="s">
        <v>7</v>
      </c>
      <c r="D11" s="16" t="s">
        <v>8</v>
      </c>
      <c r="E11" s="17" t="s">
        <v>9</v>
      </c>
      <c r="F11" s="17" t="s">
        <v>9</v>
      </c>
    </row>
    <row r="12" spans="1:6" ht="18" customHeight="1" x14ac:dyDescent="0.3">
      <c r="A12" s="8">
        <v>2020</v>
      </c>
      <c r="B12" s="18">
        <v>-3.9E-2</v>
      </c>
      <c r="C12" s="10" t="s">
        <v>7</v>
      </c>
      <c r="D12" s="11" t="s">
        <v>8</v>
      </c>
      <c r="E12" s="12" t="s">
        <v>9</v>
      </c>
      <c r="F12" s="12" t="s">
        <v>9</v>
      </c>
    </row>
    <row r="13" spans="1:6" ht="18" customHeight="1" x14ac:dyDescent="0.3">
      <c r="A13" s="13">
        <v>2021</v>
      </c>
      <c r="B13" s="19">
        <v>4.8000000000000001E-2</v>
      </c>
      <c r="C13" s="15" t="s">
        <v>7</v>
      </c>
      <c r="D13" s="16" t="s">
        <v>8</v>
      </c>
      <c r="E13" s="17" t="s">
        <v>9</v>
      </c>
      <c r="F13" s="17" t="s">
        <v>9</v>
      </c>
    </row>
    <row r="14" spans="1:6" ht="18" customHeight="1" x14ac:dyDescent="0.3">
      <c r="A14" s="8">
        <v>2022</v>
      </c>
      <c r="B14" s="9">
        <v>0.03</v>
      </c>
      <c r="C14" s="10" t="s">
        <v>7</v>
      </c>
      <c r="D14" s="11" t="s">
        <v>8</v>
      </c>
      <c r="E14" s="12" t="s">
        <v>9</v>
      </c>
      <c r="F14" s="12" t="s">
        <v>9</v>
      </c>
    </row>
    <row r="15" spans="1:6" ht="18" customHeight="1" x14ac:dyDescent="0.3">
      <c r="A15" s="13">
        <v>2023</v>
      </c>
      <c r="B15" s="19">
        <v>3.2000000000000001E-2</v>
      </c>
      <c r="C15" s="15" t="s">
        <v>7</v>
      </c>
      <c r="D15" s="16" t="s">
        <v>8</v>
      </c>
      <c r="E15" s="17" t="s">
        <v>9</v>
      </c>
      <c r="F15" s="17" t="s">
        <v>9</v>
      </c>
    </row>
    <row r="16" spans="1:6" ht="18" customHeight="1" x14ac:dyDescent="0.3">
      <c r="A16" s="8">
        <v>2024</v>
      </c>
      <c r="B16" s="9">
        <v>3.4000000000000002E-2</v>
      </c>
      <c r="C16" s="10" t="s">
        <v>7</v>
      </c>
      <c r="D16" s="11" t="s">
        <v>8</v>
      </c>
      <c r="E16" s="12" t="s">
        <v>9</v>
      </c>
      <c r="F16" s="12" t="s">
        <v>9</v>
      </c>
    </row>
    <row r="17" spans="1:6" ht="18" customHeight="1" x14ac:dyDescent="0.3">
      <c r="A17" s="13">
        <v>2025</v>
      </c>
      <c r="B17" s="19">
        <v>2.3E-2</v>
      </c>
      <c r="C17" s="15" t="s">
        <v>7</v>
      </c>
      <c r="D17" s="16" t="s">
        <v>8</v>
      </c>
      <c r="E17" s="17" t="s">
        <v>9</v>
      </c>
      <c r="F17" s="17" t="s">
        <v>9</v>
      </c>
    </row>
    <row r="18" spans="1:6" ht="19.5" customHeight="1" x14ac:dyDescent="0.3">
      <c r="A18" s="2" t="s">
        <v>10</v>
      </c>
      <c r="B18" s="2"/>
      <c r="C18" s="2"/>
      <c r="D18" s="2"/>
      <c r="E18" s="2"/>
      <c r="F18" s="2"/>
    </row>
    <row r="19" spans="1:6" ht="18" customHeight="1" x14ac:dyDescent="0.3">
      <c r="A19" s="20">
        <v>2026</v>
      </c>
      <c r="B19" s="21">
        <v>1.8499999999999999E-2</v>
      </c>
      <c r="C19" s="22" t="s">
        <v>11</v>
      </c>
      <c r="D19" s="23" t="s">
        <v>12</v>
      </c>
      <c r="E19" s="21">
        <v>1.8499999999999999E-2</v>
      </c>
      <c r="F19" s="24">
        <v>0.02</v>
      </c>
    </row>
    <row r="20" spans="1:6" ht="18" customHeight="1" x14ac:dyDescent="0.3">
      <c r="A20" s="25">
        <v>2027</v>
      </c>
      <c r="B20" s="26">
        <v>1.7999999999999999E-2</v>
      </c>
      <c r="C20" s="27" t="s">
        <v>11</v>
      </c>
      <c r="D20" s="28" t="s">
        <v>12</v>
      </c>
      <c r="E20" s="26">
        <v>1.7999999999999999E-2</v>
      </c>
      <c r="F20" s="29">
        <v>2.3E-2</v>
      </c>
    </row>
    <row r="21" spans="1:6" ht="18" customHeight="1" x14ac:dyDescent="0.3">
      <c r="A21" s="20">
        <v>2028</v>
      </c>
      <c r="B21" s="21">
        <v>0.02</v>
      </c>
      <c r="C21" s="22" t="s">
        <v>11</v>
      </c>
      <c r="D21" s="23" t="s">
        <v>12</v>
      </c>
      <c r="E21" s="21">
        <v>0.02</v>
      </c>
      <c r="F21" s="30" t="s">
        <v>13</v>
      </c>
    </row>
    <row r="22" spans="1:6" ht="18" customHeight="1" x14ac:dyDescent="0.3">
      <c r="A22" s="25">
        <v>2029</v>
      </c>
      <c r="B22" s="26">
        <v>0.02</v>
      </c>
      <c r="C22" s="27" t="s">
        <v>11</v>
      </c>
      <c r="D22" s="28" t="s">
        <v>12</v>
      </c>
      <c r="E22" s="26">
        <v>0.02</v>
      </c>
      <c r="F22" s="31" t="s">
        <v>13</v>
      </c>
    </row>
    <row r="23" spans="1:6" ht="18" customHeight="1" x14ac:dyDescent="0.3">
      <c r="A23" s="20">
        <v>2030</v>
      </c>
      <c r="B23" s="26">
        <f>FORECAST(2030,B19:B22,A19:A22)</f>
        <v>2.0750000000000046E-2</v>
      </c>
      <c r="C23" s="27" t="s">
        <v>11</v>
      </c>
      <c r="D23" s="28" t="s">
        <v>39</v>
      </c>
      <c r="E23" s="30" t="s">
        <v>14</v>
      </c>
      <c r="F23" s="30" t="s">
        <v>13</v>
      </c>
    </row>
    <row r="25" spans="1:6" ht="24" customHeight="1" x14ac:dyDescent="0.3">
      <c r="A25" s="1"/>
      <c r="B25" s="1"/>
      <c r="C25" s="1"/>
      <c r="D25" s="1"/>
      <c r="E25" s="1"/>
      <c r="F25" s="1"/>
    </row>
  </sheetData>
  <mergeCells count="4">
    <mergeCell ref="A1:F1"/>
    <mergeCell ref="A2:F2"/>
    <mergeCell ref="A18:F18"/>
    <mergeCell ref="A25:F2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0D0F-2471-4A08-8D52-C29AFD40266D}">
  <dimension ref="A1:F23"/>
  <sheetViews>
    <sheetView topLeftCell="A13" workbookViewId="0">
      <selection activeCell="B14" sqref="B14"/>
    </sheetView>
  </sheetViews>
  <sheetFormatPr defaultColWidth="15.77734375" defaultRowHeight="14.4" x14ac:dyDescent="0.3"/>
  <sheetData>
    <row r="1" spans="1:6" ht="16.8" x14ac:dyDescent="0.3">
      <c r="A1" s="32" t="s">
        <v>21</v>
      </c>
      <c r="B1" s="32"/>
      <c r="C1" s="32"/>
      <c r="D1" s="32"/>
      <c r="E1" s="32"/>
      <c r="F1" s="32"/>
    </row>
    <row r="2" spans="1:6" x14ac:dyDescent="0.3">
      <c r="A2" s="34" t="s">
        <v>22</v>
      </c>
      <c r="B2" s="34"/>
      <c r="C2" s="34"/>
      <c r="D2" s="34"/>
      <c r="E2" s="34"/>
      <c r="F2" s="34"/>
    </row>
    <row r="3" spans="1:6" x14ac:dyDescent="0.3">
      <c r="A3" s="39"/>
      <c r="B3" s="39"/>
      <c r="C3" s="39"/>
      <c r="D3" s="39"/>
      <c r="E3" s="39"/>
      <c r="F3" s="39"/>
    </row>
    <row r="4" spans="1:6" x14ac:dyDescent="0.3">
      <c r="A4" s="35" t="s">
        <v>23</v>
      </c>
      <c r="B4" s="35"/>
      <c r="C4" s="35"/>
      <c r="D4" s="35"/>
      <c r="E4" s="35"/>
      <c r="F4" s="35"/>
    </row>
    <row r="5" spans="1:6" ht="26.4" x14ac:dyDescent="0.3">
      <c r="A5" s="44" t="s">
        <v>1</v>
      </c>
      <c r="B5" s="44" t="s">
        <v>5</v>
      </c>
      <c r="C5" s="45" t="s">
        <v>24</v>
      </c>
      <c r="D5" s="46"/>
      <c r="E5" s="46"/>
      <c r="F5" s="46"/>
    </row>
    <row r="6" spans="1:6" x14ac:dyDescent="0.3">
      <c r="A6" s="40">
        <v>2026</v>
      </c>
      <c r="B6" s="47">
        <v>1.8499999999999999E-2</v>
      </c>
      <c r="C6" s="48">
        <v>0.02</v>
      </c>
      <c r="D6" s="49"/>
      <c r="E6" s="49"/>
      <c r="F6" s="49"/>
    </row>
    <row r="7" spans="1:6" x14ac:dyDescent="0.3">
      <c r="A7" s="42">
        <v>2027</v>
      </c>
      <c r="B7" s="50">
        <v>1.7999999999999999E-2</v>
      </c>
      <c r="C7" s="51">
        <v>2.3E-2</v>
      </c>
      <c r="D7" s="52"/>
      <c r="E7" s="52"/>
      <c r="F7" s="52"/>
    </row>
    <row r="8" spans="1:6" x14ac:dyDescent="0.3">
      <c r="A8" s="40">
        <v>2028</v>
      </c>
      <c r="B8" s="47">
        <v>0.02</v>
      </c>
      <c r="C8" s="41" t="s">
        <v>14</v>
      </c>
      <c r="D8" s="49"/>
      <c r="E8" s="49"/>
      <c r="F8" s="49"/>
    </row>
    <row r="9" spans="1:6" x14ac:dyDescent="0.3">
      <c r="A9" s="42">
        <v>2029</v>
      </c>
      <c r="B9" s="50">
        <v>0.02</v>
      </c>
      <c r="C9" s="43" t="s">
        <v>14</v>
      </c>
      <c r="D9" s="52"/>
      <c r="E9" s="52"/>
      <c r="F9" s="52"/>
    </row>
    <row r="10" spans="1:6" x14ac:dyDescent="0.3">
      <c r="A10" s="33"/>
      <c r="B10" s="33"/>
      <c r="C10" s="33"/>
      <c r="D10" s="33"/>
      <c r="E10" s="33"/>
      <c r="F10" s="33"/>
    </row>
    <row r="11" spans="1:6" x14ac:dyDescent="0.3">
      <c r="A11" s="36" t="s">
        <v>25</v>
      </c>
      <c r="B11" s="36"/>
      <c r="C11" s="36"/>
      <c r="D11" s="36"/>
      <c r="E11" s="36"/>
      <c r="F11" s="36"/>
    </row>
    <row r="12" spans="1:6" ht="39.6" x14ac:dyDescent="0.3">
      <c r="A12" s="53" t="s">
        <v>17</v>
      </c>
      <c r="B12" s="53" t="s">
        <v>26</v>
      </c>
      <c r="C12" s="53" t="s">
        <v>27</v>
      </c>
      <c r="D12" s="53" t="s">
        <v>28</v>
      </c>
      <c r="E12" s="39"/>
      <c r="F12" s="39"/>
    </row>
    <row r="13" spans="1:6" ht="118.8" x14ac:dyDescent="0.3">
      <c r="A13" s="54" t="s">
        <v>18</v>
      </c>
      <c r="B13" s="55">
        <f>MEDIAN(B6:B9)</f>
        <v>1.925E-2</v>
      </c>
      <c r="C13" s="56">
        <v>1.9125E-2</v>
      </c>
      <c r="D13" s="57" t="s">
        <v>29</v>
      </c>
      <c r="E13" s="58"/>
      <c r="F13" s="58"/>
    </row>
    <row r="14" spans="1:6" ht="79.2" x14ac:dyDescent="0.3">
      <c r="A14" s="59" t="s">
        <v>19</v>
      </c>
      <c r="B14" s="60">
        <f>FORECAST(2030,B6:B9,A6:A9)</f>
        <v>2.0750000000000046E-2</v>
      </c>
      <c r="C14" s="61">
        <v>2.0750000000000046E-2</v>
      </c>
      <c r="D14" s="62" t="s">
        <v>30</v>
      </c>
      <c r="E14" s="63"/>
      <c r="F14" s="63"/>
    </row>
    <row r="15" spans="1:6" ht="118.8" x14ac:dyDescent="0.3">
      <c r="A15" s="64" t="s">
        <v>20</v>
      </c>
      <c r="B15" s="65">
        <f>(B6*1+B7*2+B8*3+B9*4)/10</f>
        <v>1.9450000000000002E-2</v>
      </c>
      <c r="C15" s="66" t="s">
        <v>31</v>
      </c>
      <c r="D15" s="67" t="s">
        <v>32</v>
      </c>
      <c r="E15" s="68"/>
      <c r="F15" s="68"/>
    </row>
    <row r="16" spans="1:6" x14ac:dyDescent="0.3">
      <c r="A16" s="33"/>
      <c r="B16" s="33"/>
      <c r="C16" s="33"/>
      <c r="D16" s="33"/>
      <c r="E16" s="33"/>
      <c r="F16" s="33"/>
    </row>
    <row r="17" spans="1:6" x14ac:dyDescent="0.3">
      <c r="A17" s="37" t="s">
        <v>33</v>
      </c>
      <c r="B17" s="37"/>
      <c r="C17" s="37"/>
      <c r="D17" s="37"/>
      <c r="E17" s="37"/>
      <c r="F17" s="37"/>
    </row>
    <row r="18" spans="1:6" ht="39.6" x14ac:dyDescent="0.3">
      <c r="A18" s="44" t="s">
        <v>17</v>
      </c>
      <c r="B18" s="44" t="s">
        <v>11</v>
      </c>
      <c r="C18" s="44" t="s">
        <v>34</v>
      </c>
      <c r="D18" s="44" t="s">
        <v>35</v>
      </c>
      <c r="E18" s="39"/>
      <c r="F18" s="39"/>
    </row>
    <row r="19" spans="1:6" x14ac:dyDescent="0.3">
      <c r="A19" s="69" t="s">
        <v>36</v>
      </c>
      <c r="B19" s="70">
        <v>1.9125E-2</v>
      </c>
      <c r="C19" s="71" t="s">
        <v>37</v>
      </c>
      <c r="D19" s="72" t="s">
        <v>38</v>
      </c>
      <c r="E19" s="49"/>
      <c r="F19" s="49"/>
    </row>
    <row r="20" spans="1:6" x14ac:dyDescent="0.3">
      <c r="A20" s="73" t="s">
        <v>39</v>
      </c>
      <c r="B20" s="74">
        <v>2.0750000000000046E-2</v>
      </c>
      <c r="C20" s="75" t="s">
        <v>37</v>
      </c>
      <c r="D20" s="76" t="s">
        <v>40</v>
      </c>
      <c r="E20" s="52"/>
      <c r="F20" s="52"/>
    </row>
    <row r="21" spans="1:6" x14ac:dyDescent="0.3">
      <c r="A21" s="69" t="s">
        <v>41</v>
      </c>
      <c r="B21" s="70">
        <v>1.9450000000000002E-2</v>
      </c>
      <c r="C21" s="71" t="s">
        <v>37</v>
      </c>
      <c r="D21" s="72" t="s">
        <v>42</v>
      </c>
      <c r="E21" s="49"/>
      <c r="F21" s="49"/>
    </row>
    <row r="22" spans="1:6" ht="19.8" customHeight="1" x14ac:dyDescent="0.3">
      <c r="A22" s="33"/>
      <c r="B22" s="33"/>
      <c r="C22" s="33"/>
      <c r="D22" s="33"/>
      <c r="E22" s="33"/>
      <c r="F22" s="33"/>
    </row>
    <row r="23" spans="1:6" ht="46.2" customHeight="1" x14ac:dyDescent="0.3">
      <c r="A23" s="38"/>
      <c r="B23" s="38"/>
      <c r="C23" s="38"/>
      <c r="D23" s="38"/>
      <c r="E23" s="38"/>
      <c r="F23" s="38"/>
    </row>
  </sheetData>
  <mergeCells count="6">
    <mergeCell ref="A23:F23"/>
    <mergeCell ref="A1:F1"/>
    <mergeCell ref="A2:F2"/>
    <mergeCell ref="A4:F4"/>
    <mergeCell ref="A11:F11"/>
    <mergeCell ref="A17:F1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438057-1d4c-4652-ac18-d7ed3908dfa0}" enabled="0" method="" siteId="{54438057-1d4c-4652-ac18-d7ed3908df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PIB Brasil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Eduardo Diamandis</cp:lastModifiedBy>
  <cp:revision>1</cp:revision>
  <dcterms:created xsi:type="dcterms:W3CDTF">2026-04-14T14:43:54Z</dcterms:created>
  <dcterms:modified xsi:type="dcterms:W3CDTF">2026-04-14T19:08:15Z</dcterms:modified>
  <dc:language>en-US</dc:language>
</cp:coreProperties>
</file>