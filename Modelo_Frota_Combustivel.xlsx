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gbent-my.sharepoint.com/personal/eduardo_diamandis_zennohglobal_com/Documents/ZGC-PBI Research - Documents/Dataset Data Files/Weather_maps/"/>
    </mc:Choice>
  </mc:AlternateContent>
  <xr:revisionPtr revIDLastSave="3" documentId="11_8407FBE3F1318FFE36875DCD6D1F0395F613D40A" xr6:coauthVersionLast="47" xr6:coauthVersionMax="47" xr10:uidLastSave="{E0C96149-7980-449B-BD64-D41268E7C4CF}"/>
  <bookViews>
    <workbookView xWindow="-28920" yWindow="-15" windowWidth="29040" windowHeight="15720" tabRatio="500" activeTab="1" xr2:uid="{00000000-000D-0000-FFFF-FFFF00000000}"/>
  </bookViews>
  <sheets>
    <sheet name="1. Fontes e Links" sheetId="1" r:id="rId1"/>
    <sheet name="2. Dados Brutos" sheetId="2" r:id="rId2"/>
    <sheet name="3. Variáveis Calculadas" sheetId="3" r:id="rId3"/>
    <sheet name="4. Power Query (M Code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" i="2" l="1"/>
  <c r="D44" i="2"/>
  <c r="D43" i="2"/>
  <c r="D42" i="2"/>
  <c r="D41" i="2"/>
  <c r="D40" i="2"/>
</calcChain>
</file>

<file path=xl/sharedStrings.xml><?xml version="1.0" encoding="utf-8"?>
<sst xmlns="http://schemas.openxmlformats.org/spreadsheetml/2006/main" count="157" uniqueCount="95">
  <si>
    <t>Modelo: Venda de Combustível ~ Frota Envelhecida + Vendas Novas</t>
  </si>
  <si>
    <t>Passo 1: baixe os arquivos das fontes abaixo  |  Passo 2: cole na aba '2. Dados Brutos'  |  Passo 3: veja os cálculos na aba '3. Variáveis'</t>
  </si>
  <si>
    <t>FONTE 1 — Senatran: Frota por Ano de Fabricação (Ministério dos Transportes)</t>
  </si>
  <si>
    <t>Ano Ref.</t>
  </si>
  <si>
    <t>Mês</t>
  </si>
  <si>
    <t>Tabela Necessária</t>
  </si>
  <si>
    <t>Link Direto (.xlsx)</t>
  </si>
  <si>
    <t>Coluna chave</t>
  </si>
  <si>
    <t>Dezembro</t>
  </si>
  <si>
    <t>01 - Frota por UF/Município/Ano Fabricação/Modelo</t>
  </si>
  <si>
    <t>https://www.gov.br/transportes/pt-br/assuntos/transito/conteudo-Senatran/F_Frota_por_UF_Municipio_ANO_FAB_MOD_Dezembro_2024.xlsx</t>
  </si>
  <si>
    <t>ANO_FABRICACAO + QUANTIDADE</t>
  </si>
  <si>
    <t>https://www.gov.br/transportes/pt-br/assuntos/transito/conteudo-Senatran/F_Frota_por_UF_Municipio_ANO_FAB_MOD_Dezembro_2023.xlsx</t>
  </si>
  <si>
    <t>https://www.gov.br/transportes/pt-br/assuntos/transito/conteudo-Senatran/F_Frota_por_UF_Municipio_ANO_FAB_MOD_Dezembro_2022.xlsx</t>
  </si>
  <si>
    <t>https://www.gov.br/transportes/pt-br/assuntos/transito/conteudo-Senatran/F_Frota_por_UF_Municipio_ANO_FAB_MOD_Dezembro_2021.xlsx</t>
  </si>
  <si>
    <t>Página principal Senatran: https://www.gov.br/transportes/pt-br/assuntos/transito/conteudo-Senatran/estatisticas-frota-de-veiculos-senatran</t>
  </si>
  <si>
    <t>FONTE 2 — FENABRAVE: Emplacamentos de Veículos Novos (Vendas)</t>
  </si>
  <si>
    <t>Fonte</t>
  </si>
  <si>
    <t>URL</t>
  </si>
  <si>
    <t>Como acessar</t>
  </si>
  <si>
    <t>FENABRAVE — Indicadores</t>
  </si>
  <si>
    <t>https://www.fenabrave.org.br/portal/conteudo/indicadores</t>
  </si>
  <si>
    <t>Menu: Indicadores &gt; Emplacamentos &gt; Exportar Excel (anual)</t>
  </si>
  <si>
    <t>Ano + Total Emplacamentos</t>
  </si>
  <si>
    <t>ANFAVEA — Anuário</t>
  </si>
  <si>
    <t>https://anfavea.com.br/estatisticas</t>
  </si>
  <si>
    <t>Anuário Estatístico &gt; Tabela de Emplacamentos por Ano</t>
  </si>
  <si>
    <t>Ano + Emplacamentos Totais</t>
  </si>
  <si>
    <t>FONTE 3 — ANP: Venda de Combustível (variável dependente)</t>
  </si>
  <si>
    <t>Caminho</t>
  </si>
  <si>
    <t>ANP — Vendas de Derivados</t>
  </si>
  <si>
    <t>https://www.gov.br/anp/pt-br/centrais-de-conteudo/dados-estatisticos</t>
  </si>
  <si>
    <t>Dados Estatísticos &gt; Vendas de Derivados &gt; Gasolina/Etanol por Estado &gt; Excel</t>
  </si>
  <si>
    <t>Ano + Volume Total (m³)</t>
  </si>
  <si>
    <t>Cole os dados brutos aqui — cada bloco vem de uma fonte diferente</t>
  </si>
  <si>
    <t>BLOCO A — Senatran: cole aqui a tabela F (Ano Fabricação) de cada ano</t>
  </si>
  <si>
    <t>ANO_REF</t>
  </si>
  <si>
    <t>ANO_FABRICACAO</t>
  </si>
  <si>
    <t>UF</t>
  </si>
  <si>
    <t>MUNICIPIO</t>
  </si>
  <si>
    <t>MODELO</t>
  </si>
  <si>
    <t>QUANTIDADE</t>
  </si>
  <si>
    <t>⚠ Para análise anual: use sempre o mês de Dezembro de cada ano (snapshot de fim de ano). Cole os dados de todos os anos empilhados nesta tabela, com ANO_REF preenchido.</t>
  </si>
  <si>
    <t>BLOCO B — FENABRAVE/ANFAVEA: Emplacamentos Anuais</t>
  </si>
  <si>
    <t>ANO</t>
  </si>
  <si>
    <t>EMPLACAMENTOS_TOTAL</t>
  </si>
  <si>
    <t>FONTE</t>
  </si>
  <si>
    <t>FENABRAVE</t>
  </si>
  <si>
    <t>BLOCO C — ANP: Venda de Combustível Anual</t>
  </si>
  <si>
    <t>VOL_GASOLINA_m3</t>
  </si>
  <si>
    <t>VOL_ETANOL_m3</t>
  </si>
  <si>
    <t>VOL_TOTAL_m3</t>
  </si>
  <si>
    <t>Variáveis Derivadas para o Modelo — calculadas automaticamente quando os dados brutos forem colados</t>
  </si>
  <si>
    <t>Fórmulas referenciam os Blocos A, B e C da aba '2. Dados Brutos'. Preencha os dados brutos primeiro.</t>
  </si>
  <si>
    <t>Ano</t>
  </si>
  <si>
    <t>Frota Total</t>
  </si>
  <si>
    <t>Frota &gt; 10 anos</t>
  </si>
  <si>
    <t>% Frota Velha (&gt;10a)</t>
  </si>
  <si>
    <t>Idade Média (anos)</t>
  </si>
  <si>
    <t>Emplacamentos Novos</t>
  </si>
  <si>
    <t>Índice Renovação (%)</t>
  </si>
  <si>
    <t>Vol. Combustível (m³)</t>
  </si>
  <si>
    <t>← preencha Dados Brutos</t>
  </si>
  <si>
    <t>Como calcular % Frota Velha: no Senatran, some QUANTIDADE de todos os registros com ANO_FABRICACAO &lt;= (ANO_REF - 10), divida pelo total. Use SUMIF na aba Dados Brutos.</t>
  </si>
  <si>
    <t>Como calcular Índice de Renovação: Emplacamentos Novos / Frota Total do mesmo ano × 100.</t>
  </si>
  <si>
    <t>Código Power Query — Cole no Editor Avançado do Excel para automatizar o download</t>
  </si>
  <si>
    <t>Senatran — Frota Dez/2024 (Ano Fabricação)</t>
  </si>
  <si>
    <t>let</t>
  </si>
  <si>
    <t xml:space="preserve">    Url = "https://www.gov.br/transportes/pt-br/assuntos/transito/conteudo-Senatran/F_Frota_por_UF_Municipio_ANO_FAB_MOD_Dezembro_2024.xlsx",</t>
  </si>
  <si>
    <t xml:space="preserve">    Fonte = Excel.Workbook(Web.Contents(Url), null, true),</t>
  </si>
  <si>
    <t xml:space="preserve">    Plan1 = Fonte{[Item="Plan1",Kind="Sheet"]}[Data],</t>
  </si>
  <si>
    <t xml:space="preserve">    Cabecalho = Table.PromoteHeaders(Plan1, [PromoteAllScalars=true]),</t>
  </si>
  <si>
    <t xml:space="preserve">    TiposCorretos = Table.TransformColumnTypes(Cabecalho,{</t>
  </si>
  <si>
    <t xml:space="preserve">        {"ANO_FABRICACAO", Int64.Type},</t>
  </si>
  <si>
    <t xml:space="preserve">        {"QUANTIDADE", Int64.Type}</t>
  </si>
  <si>
    <t xml:space="preserve">    }),</t>
  </si>
  <si>
    <t xml:space="preserve">    AnoRef = Table.AddColumn(TiposCorretos, "ANO_REF", each 2024, Int64.Type)</t>
  </si>
  <si>
    <t>in</t>
  </si>
  <si>
    <t xml:space="preserve">    AnoRef</t>
  </si>
  <si>
    <t>SUMIF Frota Velha por Ano</t>
  </si>
  <si>
    <t>// Para calcular % frota velha após carregar a tabela Senatran:</t>
  </si>
  <si>
    <t>// Substitua ANO_REF pelo ano desejado (ex: 2024)</t>
  </si>
  <si>
    <t xml:space="preserve">    Senatran = Excel.CurrentWorkbook(){[Name="Tabela_Senatran"]}[Content],</t>
  </si>
  <si>
    <t xml:space="preserve">    AnoRef = 2024,</t>
  </si>
  <si>
    <t xml:space="preserve">    LimiteVelho = AnoRef - 10,</t>
  </si>
  <si>
    <t xml:space="preserve">    FrotaTotal = List.Sum(Senatran[QUANTIDADE]),</t>
  </si>
  <si>
    <t xml:space="preserve">    FrotaVelha = List.Sum(</t>
  </si>
  <si>
    <t xml:space="preserve">        Table.SelectRows(Senatran, each [ANO_FABRICACAO] &lt;= LimiteVelho)[QUANTIDADE]</t>
  </si>
  <si>
    <t xml:space="preserve">    ),</t>
  </si>
  <si>
    <t xml:space="preserve">    PctVelha = FrotaVelha / FrotaTotal,</t>
  </si>
  <si>
    <t xml:space="preserve">    Resultado = #table(</t>
  </si>
  <si>
    <t xml:space="preserve">        {"ANO_REF","Frota_Total","Frota_Velha_10a","Pct_Frota_Velha"},</t>
  </si>
  <si>
    <t xml:space="preserve">        {{AnoRef, FrotaTotal, FrotaVelha, PctVelha}}</t>
  </si>
  <si>
    <t xml:space="preserve">    )</t>
  </si>
  <si>
    <t xml:space="preserve">   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</si>
</sst>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5276"/>
      <name val="Arial"/>
      <family val="2"/>
    </font>
    <font>
      <sz val="9"/>
      <color rgb="FF000000"/>
      <name val="Arial"/>
      <family val="2"/>
    </font>
    <font>
      <u/>
      <sz val="8"/>
      <color rgb="FF1F4E79"/>
      <name val="Arial"/>
      <family val="2"/>
    </font>
    <font>
      <i/>
      <sz val="8"/>
      <color rgb="FF777777"/>
      <name val="Arial"/>
      <family val="2"/>
    </font>
    <font>
      <b/>
      <sz val="9"/>
      <color rgb="FF4A235A"/>
      <name val="Arial"/>
      <family val="2"/>
    </font>
    <font>
      <u/>
      <sz val="8"/>
      <color rgb="FF4A235A"/>
      <name val="Arial"/>
      <family val="2"/>
    </font>
    <font>
      <b/>
      <sz val="9"/>
      <color rgb="FF922B21"/>
      <name val="Arial"/>
      <family val="2"/>
    </font>
    <font>
      <u/>
      <sz val="8"/>
      <color rgb="FF922B21"/>
      <name val="Arial"/>
      <family val="2"/>
    </font>
    <font>
      <b/>
      <sz val="12"/>
      <color rgb="FFFFFFFF"/>
      <name val="Arial"/>
      <family val="2"/>
    </font>
    <font>
      <sz val="9"/>
      <name val="Arial"/>
      <family val="2"/>
    </font>
    <font>
      <sz val="9"/>
      <color rgb="FF145A32"/>
      <name val="Arial"/>
      <family val="2"/>
    </font>
    <font>
      <i/>
      <sz val="8"/>
      <color rgb="FFAAAAAA"/>
      <name val="Arial"/>
      <family val="2"/>
    </font>
    <font>
      <b/>
      <sz val="10"/>
      <color rgb="FFFFFFFF"/>
      <name val="Arial"/>
      <family val="2"/>
    </font>
    <font>
      <sz val="9"/>
      <color rgb="FF1A5276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1A5276"/>
        <bgColor rgb="FF1F4E79"/>
      </patternFill>
    </fill>
    <fill>
      <patternFill patternType="solid">
        <fgColor rgb="FFEBF5FB"/>
        <bgColor rgb="FFF5EEF8"/>
      </patternFill>
    </fill>
    <fill>
      <patternFill patternType="solid">
        <fgColor rgb="FFFFFFFF"/>
        <bgColor rgb="FFEBF5FB"/>
      </patternFill>
    </fill>
    <fill>
      <patternFill patternType="solid">
        <fgColor rgb="FF4A235A"/>
        <bgColor rgb="FF2C3E50"/>
      </patternFill>
    </fill>
    <fill>
      <patternFill patternType="solid">
        <fgColor rgb="FFF5EEF8"/>
        <bgColor rgb="FFFDEDEC"/>
      </patternFill>
    </fill>
    <fill>
      <patternFill patternType="solid">
        <fgColor rgb="FF922B21"/>
        <bgColor rgb="FF784212"/>
      </patternFill>
    </fill>
    <fill>
      <patternFill patternType="solid">
        <fgColor rgb="FFFDEDEC"/>
        <bgColor rgb="FFF5EEF8"/>
      </patternFill>
    </fill>
    <fill>
      <patternFill patternType="solid">
        <fgColor rgb="FF2C3E50"/>
        <bgColor rgb="FF1F4E79"/>
      </patternFill>
    </fill>
    <fill>
      <patternFill patternType="solid">
        <fgColor rgb="FF784212"/>
        <bgColor rgb="FF922B21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8" fillId="4" borderId="1" xfId="0" applyFont="1" applyFill="1" applyBorder="1" applyAlignment="1">
      <alignment horizontal="left" vertical="center" indent="2"/>
    </xf>
    <xf numFmtId="0" fontId="17" fillId="11" borderId="1" xfId="0" applyFont="1" applyFill="1" applyBorder="1" applyAlignment="1">
      <alignment horizontal="left" vertical="center" indent="1"/>
    </xf>
    <xf numFmtId="0" fontId="13" fillId="1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1" fontId="5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/>
    <xf numFmtId="0" fontId="14" fillId="4" borderId="2" xfId="0" applyFont="1" applyFill="1" applyBorder="1"/>
    <xf numFmtId="1" fontId="9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" fontId="11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BFBFBF"/>
      <rgbColor rgb="FF777777"/>
      <rgbColor rgb="FF9999FF"/>
      <rgbColor rgb="FF784212"/>
      <rgbColor rgb="FFFDEDEC"/>
      <rgbColor rgb="FFEBF5FB"/>
      <rgbColor rgb="FF4A235A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E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A5276"/>
      <rgbColor rgb="FF339966"/>
      <rgbColor rgb="FF003300"/>
      <rgbColor rgb="FF333300"/>
      <rgbColor rgb="FF922B21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>
      <selection activeCell="C22" sqref="C22"/>
    </sheetView>
  </sheetViews>
  <sheetFormatPr defaultColWidth="8.6640625" defaultRowHeight="14.4" x14ac:dyDescent="0.3"/>
  <cols>
    <col min="1" max="1" width="23.88671875" bestFit="1" customWidth="1"/>
    <col min="2" max="2" width="50" bestFit="1" customWidth="1"/>
    <col min="3" max="3" width="64" bestFit="1" customWidth="1"/>
    <col min="4" max="4" width="55" customWidth="1"/>
    <col min="5" max="5" width="28" customWidth="1"/>
  </cols>
  <sheetData>
    <row r="1" spans="1:7" ht="31.5" customHeight="1" x14ac:dyDescent="0.3">
      <c r="A1" s="10" t="s">
        <v>0</v>
      </c>
      <c r="B1" s="10"/>
      <c r="C1" s="10"/>
      <c r="D1" s="10"/>
      <c r="E1" s="10"/>
      <c r="F1" s="10"/>
      <c r="G1" s="10"/>
    </row>
    <row r="2" spans="1:7" ht="15.75" customHeight="1" x14ac:dyDescent="0.3">
      <c r="A2" s="9" t="s">
        <v>1</v>
      </c>
      <c r="B2" s="9"/>
      <c r="C2" s="9"/>
      <c r="D2" s="9"/>
      <c r="E2" s="9"/>
      <c r="F2" s="9"/>
      <c r="G2" s="9"/>
    </row>
    <row r="3" spans="1:7" ht="7.5" customHeight="1" x14ac:dyDescent="0.3"/>
    <row r="4" spans="1:7" ht="21.75" customHeight="1" x14ac:dyDescent="0.3">
      <c r="A4" s="8" t="s">
        <v>2</v>
      </c>
      <c r="B4" s="8"/>
      <c r="C4" s="8"/>
      <c r="D4" s="8"/>
      <c r="E4" s="8"/>
      <c r="F4" s="8"/>
      <c r="G4" s="8"/>
    </row>
    <row r="5" spans="1:7" ht="19.5" customHeight="1" x14ac:dyDescent="0.3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</row>
    <row r="6" spans="1:7" ht="18" customHeight="1" x14ac:dyDescent="0.3">
      <c r="A6" s="12">
        <v>2024</v>
      </c>
      <c r="B6" s="13" t="s">
        <v>8</v>
      </c>
      <c r="C6" s="14" t="s">
        <v>9</v>
      </c>
      <c r="D6" s="15" t="s">
        <v>10</v>
      </c>
      <c r="E6" s="14" t="s">
        <v>11</v>
      </c>
    </row>
    <row r="7" spans="1:7" ht="18" customHeight="1" x14ac:dyDescent="0.3">
      <c r="A7" s="16">
        <v>2023</v>
      </c>
      <c r="B7" s="17" t="s">
        <v>8</v>
      </c>
      <c r="C7" s="18" t="s">
        <v>9</v>
      </c>
      <c r="D7" s="19" t="s">
        <v>12</v>
      </c>
      <c r="E7" s="18" t="s">
        <v>11</v>
      </c>
    </row>
    <row r="8" spans="1:7" ht="18" customHeight="1" x14ac:dyDescent="0.3">
      <c r="A8" s="12">
        <v>2022</v>
      </c>
      <c r="B8" s="13" t="s">
        <v>8</v>
      </c>
      <c r="C8" s="14" t="s">
        <v>9</v>
      </c>
      <c r="D8" s="15" t="s">
        <v>13</v>
      </c>
      <c r="E8" s="14" t="s">
        <v>11</v>
      </c>
    </row>
    <row r="9" spans="1:7" ht="18" customHeight="1" x14ac:dyDescent="0.3">
      <c r="A9" s="16">
        <v>2021</v>
      </c>
      <c r="B9" s="17" t="s">
        <v>8</v>
      </c>
      <c r="C9" s="18" t="s">
        <v>9</v>
      </c>
      <c r="D9" s="19" t="s">
        <v>14</v>
      </c>
      <c r="E9" s="18" t="s">
        <v>11</v>
      </c>
    </row>
    <row r="10" spans="1:7" ht="27.75" customHeight="1" x14ac:dyDescent="0.3">
      <c r="A10" s="7" t="s">
        <v>15</v>
      </c>
      <c r="B10" s="7"/>
      <c r="C10" s="7"/>
      <c r="D10" s="7"/>
      <c r="E10" s="7"/>
      <c r="F10" s="7"/>
      <c r="G10" s="7"/>
    </row>
    <row r="11" spans="1:7" ht="7.5" customHeight="1" x14ac:dyDescent="0.3"/>
    <row r="12" spans="1:7" ht="21.75" customHeight="1" x14ac:dyDescent="0.3">
      <c r="A12" s="6" t="s">
        <v>16</v>
      </c>
      <c r="B12" s="6"/>
      <c r="C12" s="6"/>
      <c r="D12" s="6"/>
      <c r="E12" s="6"/>
      <c r="F12" s="6"/>
      <c r="G12" s="6"/>
    </row>
    <row r="13" spans="1:7" ht="19.5" customHeight="1" x14ac:dyDescent="0.3">
      <c r="A13" s="20" t="s">
        <v>17</v>
      </c>
      <c r="B13" s="20" t="s">
        <v>18</v>
      </c>
      <c r="C13" s="20" t="s">
        <v>19</v>
      </c>
      <c r="D13" s="20" t="s">
        <v>7</v>
      </c>
    </row>
    <row r="14" spans="1:7" ht="21.75" customHeight="1" x14ac:dyDescent="0.3">
      <c r="A14" s="21" t="s">
        <v>20</v>
      </c>
      <c r="B14" s="22" t="s">
        <v>21</v>
      </c>
      <c r="C14" s="23" t="s">
        <v>22</v>
      </c>
      <c r="D14" s="23" t="s">
        <v>23</v>
      </c>
    </row>
    <row r="15" spans="1:7" ht="21.75" customHeight="1" x14ac:dyDescent="0.3">
      <c r="A15" s="24" t="s">
        <v>24</v>
      </c>
      <c r="B15" s="25" t="s">
        <v>25</v>
      </c>
      <c r="C15" s="18" t="s">
        <v>26</v>
      </c>
      <c r="D15" s="18" t="s">
        <v>27</v>
      </c>
    </row>
    <row r="16" spans="1:7" ht="7.5" customHeight="1" x14ac:dyDescent="0.3"/>
    <row r="17" spans="1:7" ht="21.75" customHeight="1" x14ac:dyDescent="0.3">
      <c r="A17" s="5" t="s">
        <v>28</v>
      </c>
      <c r="B17" s="5"/>
      <c r="C17" s="5"/>
      <c r="D17" s="5"/>
      <c r="E17" s="5"/>
      <c r="F17" s="5"/>
      <c r="G17" s="5"/>
    </row>
    <row r="18" spans="1:7" ht="19.5" customHeight="1" x14ac:dyDescent="0.3">
      <c r="A18" s="26" t="s">
        <v>17</v>
      </c>
      <c r="B18" s="26" t="s">
        <v>18</v>
      </c>
      <c r="C18" s="26" t="s">
        <v>29</v>
      </c>
      <c r="D18" s="26" t="s">
        <v>7</v>
      </c>
    </row>
    <row r="19" spans="1:7" ht="21.75" customHeight="1" x14ac:dyDescent="0.3">
      <c r="A19" s="27" t="s">
        <v>30</v>
      </c>
      <c r="B19" s="28" t="s">
        <v>31</v>
      </c>
      <c r="C19" s="29" t="s">
        <v>32</v>
      </c>
      <c r="D19" s="29" t="s">
        <v>33</v>
      </c>
    </row>
  </sheetData>
  <mergeCells count="6">
    <mergeCell ref="A17:G17"/>
    <mergeCell ref="A1:G1"/>
    <mergeCell ref="A2:G2"/>
    <mergeCell ref="A4:G4"/>
    <mergeCell ref="A10:G10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abSelected="1" zoomScaleNormal="100" workbookViewId="0">
      <selection activeCell="J21" sqref="J21"/>
    </sheetView>
  </sheetViews>
  <sheetFormatPr defaultColWidth="8.6640625" defaultRowHeight="14.4" x14ac:dyDescent="0.3"/>
  <cols>
    <col min="1" max="6" width="14" customWidth="1"/>
  </cols>
  <sheetData>
    <row r="1" spans="1:9" ht="27.75" customHeight="1" x14ac:dyDescent="0.3">
      <c r="A1" s="4" t="s">
        <v>34</v>
      </c>
      <c r="B1" s="4"/>
      <c r="C1" s="4"/>
      <c r="D1" s="4"/>
      <c r="E1" s="4"/>
      <c r="F1" s="4"/>
      <c r="G1" s="4"/>
      <c r="H1" s="4"/>
      <c r="I1" s="4"/>
    </row>
    <row r="3" spans="1:9" ht="21.75" customHeight="1" x14ac:dyDescent="0.3">
      <c r="A3" s="8" t="s">
        <v>35</v>
      </c>
      <c r="B3" s="8"/>
      <c r="C3" s="8"/>
      <c r="D3" s="8"/>
      <c r="E3" s="8"/>
      <c r="F3" s="8"/>
    </row>
    <row r="4" spans="1:9" ht="24" x14ac:dyDescent="0.3">
      <c r="A4" s="30" t="s">
        <v>36</v>
      </c>
      <c r="B4" s="30" t="s">
        <v>37</v>
      </c>
      <c r="C4" s="30" t="s">
        <v>38</v>
      </c>
      <c r="D4" s="30" t="s">
        <v>39</v>
      </c>
      <c r="E4" s="30" t="s">
        <v>40</v>
      </c>
      <c r="F4" s="30" t="s">
        <v>41</v>
      </c>
    </row>
    <row r="5" spans="1:9" ht="15.75" customHeight="1" x14ac:dyDescent="0.3">
      <c r="A5" s="31"/>
      <c r="B5" s="31"/>
      <c r="C5" s="31"/>
      <c r="D5" s="31"/>
      <c r="E5" s="31"/>
      <c r="F5" s="31"/>
    </row>
    <row r="6" spans="1:9" ht="15.75" customHeight="1" x14ac:dyDescent="0.3">
      <c r="A6" s="32"/>
      <c r="B6" s="32"/>
      <c r="C6" s="32"/>
      <c r="D6" s="32"/>
      <c r="E6" s="32"/>
      <c r="F6" s="32"/>
    </row>
    <row r="7" spans="1:9" ht="15.75" customHeight="1" x14ac:dyDescent="0.3">
      <c r="A7" s="31"/>
      <c r="B7" s="31"/>
      <c r="C7" s="31"/>
      <c r="D7" s="31"/>
      <c r="E7" s="31"/>
      <c r="F7" s="31"/>
    </row>
    <row r="8" spans="1:9" ht="15.75" customHeight="1" x14ac:dyDescent="0.3">
      <c r="A8" s="32"/>
      <c r="B8" s="32"/>
      <c r="C8" s="32"/>
      <c r="D8" s="32"/>
      <c r="E8" s="32"/>
      <c r="F8" s="32"/>
    </row>
    <row r="9" spans="1:9" ht="15.75" customHeight="1" x14ac:dyDescent="0.3">
      <c r="A9" s="31"/>
      <c r="B9" s="31"/>
      <c r="C9" s="31"/>
      <c r="D9" s="31"/>
      <c r="E9" s="31"/>
      <c r="F9" s="31"/>
    </row>
    <row r="10" spans="1:9" ht="15.75" customHeight="1" x14ac:dyDescent="0.3">
      <c r="A10" s="32"/>
      <c r="B10" s="32"/>
      <c r="C10" s="32"/>
      <c r="D10" s="32"/>
      <c r="E10" s="32"/>
      <c r="F10" s="32"/>
    </row>
    <row r="11" spans="1:9" ht="15.75" customHeight="1" x14ac:dyDescent="0.3">
      <c r="A11" s="31"/>
      <c r="B11" s="31"/>
      <c r="C11" s="31"/>
      <c r="D11" s="31"/>
      <c r="E11" s="31"/>
      <c r="F11" s="31"/>
    </row>
    <row r="12" spans="1:9" ht="15.75" customHeight="1" x14ac:dyDescent="0.3">
      <c r="A12" s="32"/>
      <c r="B12" s="32"/>
      <c r="C12" s="32"/>
      <c r="D12" s="32"/>
      <c r="E12" s="32"/>
      <c r="F12" s="32"/>
    </row>
    <row r="13" spans="1:9" ht="15.75" customHeight="1" x14ac:dyDescent="0.3">
      <c r="A13" s="31"/>
      <c r="B13" s="31"/>
      <c r="C13" s="31"/>
      <c r="D13" s="31"/>
      <c r="E13" s="31"/>
      <c r="F13" s="31"/>
    </row>
    <row r="14" spans="1:9" ht="15.75" customHeight="1" x14ac:dyDescent="0.3">
      <c r="A14" s="32"/>
      <c r="B14" s="32"/>
      <c r="C14" s="32"/>
      <c r="D14" s="32"/>
      <c r="E14" s="32"/>
      <c r="F14" s="32"/>
    </row>
    <row r="15" spans="1:9" ht="15.75" customHeight="1" x14ac:dyDescent="0.3">
      <c r="A15" s="31"/>
      <c r="B15" s="31"/>
      <c r="C15" s="31"/>
      <c r="D15" s="31"/>
      <c r="E15" s="31"/>
      <c r="F15" s="31"/>
    </row>
    <row r="16" spans="1:9" ht="15.75" customHeight="1" x14ac:dyDescent="0.3">
      <c r="A16" s="32"/>
      <c r="B16" s="32"/>
      <c r="C16" s="32"/>
      <c r="D16" s="32"/>
      <c r="E16" s="32"/>
      <c r="F16" s="32"/>
    </row>
    <row r="17" spans="1:6" ht="15.75" customHeight="1" x14ac:dyDescent="0.3">
      <c r="A17" s="31"/>
      <c r="B17" s="31"/>
      <c r="C17" s="31"/>
      <c r="D17" s="31"/>
      <c r="E17" s="31"/>
      <c r="F17" s="31"/>
    </row>
    <row r="18" spans="1:6" ht="15.75" customHeight="1" x14ac:dyDescent="0.3">
      <c r="A18" s="32"/>
      <c r="B18" s="32"/>
      <c r="C18" s="32"/>
      <c r="D18" s="32"/>
      <c r="E18" s="32"/>
      <c r="F18" s="32"/>
    </row>
    <row r="19" spans="1:6" ht="15.75" customHeight="1" x14ac:dyDescent="0.3">
      <c r="A19" s="31"/>
      <c r="B19" s="31"/>
      <c r="C19" s="31"/>
      <c r="D19" s="31"/>
      <c r="E19" s="31"/>
      <c r="F19" s="31"/>
    </row>
    <row r="20" spans="1:6" ht="15.75" customHeight="1" x14ac:dyDescent="0.3">
      <c r="A20" s="32"/>
      <c r="B20" s="32"/>
      <c r="C20" s="32"/>
      <c r="D20" s="32"/>
      <c r="E20" s="32"/>
      <c r="F20" s="32"/>
    </row>
    <row r="21" spans="1:6" ht="15.75" customHeight="1" x14ac:dyDescent="0.3">
      <c r="A21" s="31"/>
      <c r="B21" s="31"/>
      <c r="C21" s="31"/>
      <c r="D21" s="31"/>
      <c r="E21" s="31"/>
      <c r="F21" s="31"/>
    </row>
    <row r="22" spans="1:6" ht="15.75" customHeight="1" x14ac:dyDescent="0.3">
      <c r="A22" s="32"/>
      <c r="B22" s="32"/>
      <c r="C22" s="32"/>
      <c r="D22" s="32"/>
      <c r="E22" s="32"/>
      <c r="F22" s="32"/>
    </row>
    <row r="23" spans="1:6" ht="15.75" customHeight="1" x14ac:dyDescent="0.3">
      <c r="A23" s="31"/>
      <c r="B23" s="31"/>
      <c r="C23" s="31"/>
      <c r="D23" s="31"/>
      <c r="E23" s="31"/>
      <c r="F23" s="31"/>
    </row>
    <row r="24" spans="1:6" ht="15.75" customHeight="1" x14ac:dyDescent="0.3">
      <c r="A24" s="32"/>
      <c r="B24" s="32"/>
      <c r="C24" s="32"/>
      <c r="D24" s="32"/>
      <c r="E24" s="32"/>
      <c r="F24" s="32"/>
    </row>
    <row r="25" spans="1:6" ht="27.75" customHeight="1" x14ac:dyDescent="0.3">
      <c r="A25" s="7" t="s">
        <v>42</v>
      </c>
      <c r="B25" s="7"/>
      <c r="C25" s="7"/>
      <c r="D25" s="7"/>
      <c r="E25" s="7"/>
      <c r="F25" s="7"/>
    </row>
    <row r="27" spans="1:6" ht="7.5" customHeight="1" x14ac:dyDescent="0.3"/>
    <row r="28" spans="1:6" ht="21.75" customHeight="1" x14ac:dyDescent="0.3">
      <c r="A28" s="6" t="s">
        <v>43</v>
      </c>
      <c r="B28" s="6"/>
      <c r="C28" s="6"/>
    </row>
    <row r="29" spans="1:6" ht="24" x14ac:dyDescent="0.3">
      <c r="A29" s="20" t="s">
        <v>44</v>
      </c>
      <c r="B29" s="20" t="s">
        <v>45</v>
      </c>
      <c r="C29" s="20" t="s">
        <v>46</v>
      </c>
    </row>
    <row r="30" spans="1:6" ht="15.75" customHeight="1" x14ac:dyDescent="0.3">
      <c r="A30" s="33">
        <v>2019</v>
      </c>
      <c r="B30" s="34"/>
      <c r="C30" s="34" t="s">
        <v>47</v>
      </c>
    </row>
    <row r="31" spans="1:6" ht="15.75" customHeight="1" x14ac:dyDescent="0.3">
      <c r="A31" s="35">
        <v>2020</v>
      </c>
      <c r="B31" s="17"/>
      <c r="C31" s="17" t="s">
        <v>47</v>
      </c>
    </row>
    <row r="32" spans="1:6" ht="15.75" customHeight="1" x14ac:dyDescent="0.3">
      <c r="A32" s="33">
        <v>2021</v>
      </c>
      <c r="B32" s="34"/>
      <c r="C32" s="34" t="s">
        <v>47</v>
      </c>
    </row>
    <row r="33" spans="1:4" ht="15.75" customHeight="1" x14ac:dyDescent="0.3">
      <c r="A33" s="35">
        <v>2022</v>
      </c>
      <c r="B33" s="17"/>
      <c r="C33" s="17" t="s">
        <v>47</v>
      </c>
    </row>
    <row r="34" spans="1:4" ht="15.75" customHeight="1" x14ac:dyDescent="0.3">
      <c r="A34" s="33">
        <v>2023</v>
      </c>
      <c r="B34" s="34"/>
      <c r="C34" s="34" t="s">
        <v>47</v>
      </c>
    </row>
    <row r="35" spans="1:4" ht="15.75" customHeight="1" x14ac:dyDescent="0.3">
      <c r="A35" s="35">
        <v>2024</v>
      </c>
      <c r="B35" s="17"/>
      <c r="C35" s="17" t="s">
        <v>47</v>
      </c>
    </row>
    <row r="37" spans="1:4" ht="7.5" customHeight="1" x14ac:dyDescent="0.3"/>
    <row r="38" spans="1:4" ht="21.75" customHeight="1" x14ac:dyDescent="0.3">
      <c r="A38" s="5" t="s">
        <v>48</v>
      </c>
      <c r="B38" s="5"/>
      <c r="C38" s="5"/>
      <c r="D38" s="5"/>
    </row>
    <row r="39" spans="1:4" ht="24" x14ac:dyDescent="0.3">
      <c r="A39" s="26" t="s">
        <v>44</v>
      </c>
      <c r="B39" s="26" t="s">
        <v>49</v>
      </c>
      <c r="C39" s="26" t="s">
        <v>50</v>
      </c>
      <c r="D39" s="26" t="s">
        <v>51</v>
      </c>
    </row>
    <row r="40" spans="1:4" ht="15.75" customHeight="1" x14ac:dyDescent="0.3">
      <c r="A40" s="36">
        <v>2019</v>
      </c>
      <c r="B40" s="37"/>
      <c r="C40" s="37"/>
      <c r="D40" s="38" t="str">
        <f t="shared" ref="D40:D45" si="0">IF(B40="","",B40+C40)</f>
        <v/>
      </c>
    </row>
    <row r="41" spans="1:4" ht="15.75" customHeight="1" x14ac:dyDescent="0.3">
      <c r="A41" s="39">
        <v>2020</v>
      </c>
      <c r="B41" s="17"/>
      <c r="C41" s="17"/>
      <c r="D41" s="40" t="str">
        <f t="shared" si="0"/>
        <v/>
      </c>
    </row>
    <row r="42" spans="1:4" ht="15.75" customHeight="1" x14ac:dyDescent="0.3">
      <c r="A42" s="36">
        <v>2021</v>
      </c>
      <c r="B42" s="37"/>
      <c r="C42" s="37"/>
      <c r="D42" s="38" t="str">
        <f t="shared" si="0"/>
        <v/>
      </c>
    </row>
    <row r="43" spans="1:4" ht="15.75" customHeight="1" x14ac:dyDescent="0.3">
      <c r="A43" s="39">
        <v>2022</v>
      </c>
      <c r="B43" s="17"/>
      <c r="C43" s="17"/>
      <c r="D43" s="40" t="str">
        <f t="shared" si="0"/>
        <v/>
      </c>
    </row>
    <row r="44" spans="1:4" ht="15.75" customHeight="1" x14ac:dyDescent="0.3">
      <c r="A44" s="36">
        <v>2023</v>
      </c>
      <c r="B44" s="37"/>
      <c r="C44" s="37"/>
      <c r="D44" s="38" t="str">
        <f t="shared" si="0"/>
        <v/>
      </c>
    </row>
    <row r="45" spans="1:4" ht="15.75" customHeight="1" x14ac:dyDescent="0.3">
      <c r="A45" s="39">
        <v>2024</v>
      </c>
      <c r="B45" s="17"/>
      <c r="C45" s="17"/>
      <c r="D45" s="40" t="str">
        <f t="shared" si="0"/>
        <v/>
      </c>
    </row>
  </sheetData>
  <mergeCells count="5">
    <mergeCell ref="A1:I1"/>
    <mergeCell ref="A3:F3"/>
    <mergeCell ref="A25:F25"/>
    <mergeCell ref="A28:C28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zoomScaleNormal="100" workbookViewId="0"/>
  </sheetViews>
  <sheetFormatPr defaultColWidth="8.6640625" defaultRowHeight="14.4" x14ac:dyDescent="0.3"/>
  <sheetData>
    <row r="1" spans="1:8" ht="27.75" customHeight="1" x14ac:dyDescent="0.3">
      <c r="A1" s="4" t="s">
        <v>52</v>
      </c>
      <c r="B1" s="4"/>
      <c r="C1" s="4"/>
      <c r="D1" s="4"/>
      <c r="E1" s="4"/>
      <c r="F1" s="4"/>
      <c r="G1" s="4"/>
      <c r="H1" s="4"/>
    </row>
    <row r="2" spans="1:8" ht="13.5" customHeight="1" x14ac:dyDescent="0.3">
      <c r="A2" s="9" t="s">
        <v>53</v>
      </c>
      <c r="B2" s="9"/>
      <c r="C2" s="9"/>
      <c r="D2" s="9"/>
      <c r="E2" s="9"/>
      <c r="F2" s="9"/>
      <c r="G2" s="9"/>
      <c r="H2" s="9"/>
    </row>
    <row r="4" spans="1:8" ht="30" customHeight="1" x14ac:dyDescent="0.3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  <c r="H4" s="11" t="s">
        <v>61</v>
      </c>
    </row>
    <row r="5" spans="1:8" ht="18" customHeight="1" x14ac:dyDescent="0.3">
      <c r="A5" s="12">
        <v>2019</v>
      </c>
      <c r="B5" s="41" t="s">
        <v>62</v>
      </c>
      <c r="C5" s="41" t="s">
        <v>62</v>
      </c>
      <c r="D5" s="41" t="s">
        <v>62</v>
      </c>
      <c r="E5" s="41" t="s">
        <v>62</v>
      </c>
      <c r="F5" s="41" t="s">
        <v>62</v>
      </c>
      <c r="G5" s="41" t="s">
        <v>62</v>
      </c>
      <c r="H5" s="41" t="s">
        <v>62</v>
      </c>
    </row>
    <row r="6" spans="1:8" ht="18" customHeight="1" x14ac:dyDescent="0.3">
      <c r="A6" s="16">
        <v>2020</v>
      </c>
      <c r="B6" s="42" t="s">
        <v>62</v>
      </c>
      <c r="C6" s="42" t="s">
        <v>62</v>
      </c>
      <c r="D6" s="42" t="s">
        <v>62</v>
      </c>
      <c r="E6" s="42" t="s">
        <v>62</v>
      </c>
      <c r="F6" s="42" t="s">
        <v>62</v>
      </c>
      <c r="G6" s="42" t="s">
        <v>62</v>
      </c>
      <c r="H6" s="42" t="s">
        <v>62</v>
      </c>
    </row>
    <row r="7" spans="1:8" ht="18" customHeight="1" x14ac:dyDescent="0.3">
      <c r="A7" s="12">
        <v>2021</v>
      </c>
      <c r="B7" s="41" t="s">
        <v>62</v>
      </c>
      <c r="C7" s="41" t="s">
        <v>62</v>
      </c>
      <c r="D7" s="41" t="s">
        <v>62</v>
      </c>
      <c r="E7" s="41" t="s">
        <v>62</v>
      </c>
      <c r="F7" s="41" t="s">
        <v>62</v>
      </c>
      <c r="G7" s="41" t="s">
        <v>62</v>
      </c>
      <c r="H7" s="41" t="s">
        <v>62</v>
      </c>
    </row>
    <row r="8" spans="1:8" ht="18" customHeight="1" x14ac:dyDescent="0.3">
      <c r="A8" s="16">
        <v>2022</v>
      </c>
      <c r="B8" s="42" t="s">
        <v>62</v>
      </c>
      <c r="C8" s="42" t="s">
        <v>62</v>
      </c>
      <c r="D8" s="42" t="s">
        <v>62</v>
      </c>
      <c r="E8" s="42" t="s">
        <v>62</v>
      </c>
      <c r="F8" s="42" t="s">
        <v>62</v>
      </c>
      <c r="G8" s="42" t="s">
        <v>62</v>
      </c>
      <c r="H8" s="42" t="s">
        <v>62</v>
      </c>
    </row>
    <row r="9" spans="1:8" ht="18" customHeight="1" x14ac:dyDescent="0.3">
      <c r="A9" s="12">
        <v>2023</v>
      </c>
      <c r="B9" s="41" t="s">
        <v>62</v>
      </c>
      <c r="C9" s="41" t="s">
        <v>62</v>
      </c>
      <c r="D9" s="41" t="s">
        <v>62</v>
      </c>
      <c r="E9" s="41" t="s">
        <v>62</v>
      </c>
      <c r="F9" s="41" t="s">
        <v>62</v>
      </c>
      <c r="G9" s="41" t="s">
        <v>62</v>
      </c>
      <c r="H9" s="41" t="s">
        <v>62</v>
      </c>
    </row>
    <row r="10" spans="1:8" ht="18" customHeight="1" x14ac:dyDescent="0.3">
      <c r="A10" s="16">
        <v>2024</v>
      </c>
      <c r="B10" s="42" t="s">
        <v>62</v>
      </c>
      <c r="C10" s="42" t="s">
        <v>62</v>
      </c>
      <c r="D10" s="42" t="s">
        <v>62</v>
      </c>
      <c r="E10" s="42" t="s">
        <v>62</v>
      </c>
      <c r="F10" s="42" t="s">
        <v>62</v>
      </c>
      <c r="G10" s="42" t="s">
        <v>62</v>
      </c>
      <c r="H10" s="42" t="s">
        <v>62</v>
      </c>
    </row>
    <row r="12" spans="1:8" ht="27.75" customHeight="1" x14ac:dyDescent="0.3">
      <c r="A12" s="7" t="s">
        <v>63</v>
      </c>
      <c r="B12" s="7"/>
      <c r="C12" s="7"/>
      <c r="D12" s="7"/>
      <c r="E12" s="7"/>
      <c r="F12" s="7"/>
      <c r="G12" s="7"/>
      <c r="H12" s="7"/>
    </row>
    <row r="13" spans="1:8" ht="27.75" customHeight="1" x14ac:dyDescent="0.3">
      <c r="A13" s="7" t="s">
        <v>64</v>
      </c>
      <c r="B13" s="7"/>
      <c r="C13" s="7"/>
      <c r="D13" s="7"/>
      <c r="E13" s="7"/>
      <c r="F13" s="7"/>
      <c r="G13" s="7"/>
      <c r="H13" s="7"/>
    </row>
  </sheetData>
  <mergeCells count="4">
    <mergeCell ref="A1:H1"/>
    <mergeCell ref="A2:H2"/>
    <mergeCell ref="A12:H12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zoomScaleNormal="100" workbookViewId="0"/>
  </sheetViews>
  <sheetFormatPr defaultColWidth="8.6640625" defaultRowHeight="14.4" x14ac:dyDescent="0.3"/>
  <cols>
    <col min="1" max="1" width="90" customWidth="1"/>
    <col min="2" max="2" width="20" customWidth="1"/>
  </cols>
  <sheetData>
    <row r="1" spans="1:2" ht="27.75" customHeight="1" x14ac:dyDescent="0.3">
      <c r="A1" s="3" t="s">
        <v>65</v>
      </c>
      <c r="B1" s="3"/>
    </row>
    <row r="3" spans="1:2" ht="21.75" customHeight="1" x14ac:dyDescent="0.3">
      <c r="A3" s="2" t="s">
        <v>66</v>
      </c>
      <c r="B3" s="2"/>
    </row>
    <row r="4" spans="1:2" ht="15.75" customHeight="1" x14ac:dyDescent="0.3">
      <c r="A4" s="1" t="s">
        <v>67</v>
      </c>
      <c r="B4" s="1"/>
    </row>
    <row r="5" spans="1:2" ht="15.75" customHeight="1" x14ac:dyDescent="0.3">
      <c r="A5" s="1" t="s">
        <v>68</v>
      </c>
      <c r="B5" s="1"/>
    </row>
    <row r="6" spans="1:2" ht="15.75" customHeight="1" x14ac:dyDescent="0.3">
      <c r="A6" s="1" t="s">
        <v>69</v>
      </c>
      <c r="B6" s="1"/>
    </row>
    <row r="7" spans="1:2" ht="15.75" customHeight="1" x14ac:dyDescent="0.3">
      <c r="A7" s="1" t="s">
        <v>70</v>
      </c>
      <c r="B7" s="1"/>
    </row>
    <row r="8" spans="1:2" ht="15.75" customHeight="1" x14ac:dyDescent="0.3">
      <c r="A8" s="1" t="s">
        <v>71</v>
      </c>
      <c r="B8" s="1"/>
    </row>
    <row r="9" spans="1:2" ht="15.75" customHeight="1" x14ac:dyDescent="0.3">
      <c r="A9" s="1" t="s">
        <v>72</v>
      </c>
      <c r="B9" s="1"/>
    </row>
    <row r="10" spans="1:2" ht="15.75" customHeight="1" x14ac:dyDescent="0.3">
      <c r="A10" s="1" t="s">
        <v>73</v>
      </c>
      <c r="B10" s="1"/>
    </row>
    <row r="11" spans="1:2" ht="15.75" customHeight="1" x14ac:dyDescent="0.3">
      <c r="A11" s="1" t="s">
        <v>74</v>
      </c>
      <c r="B11" s="1"/>
    </row>
    <row r="12" spans="1:2" ht="15.75" customHeight="1" x14ac:dyDescent="0.3">
      <c r="A12" s="1" t="s">
        <v>75</v>
      </c>
      <c r="B12" s="1"/>
    </row>
    <row r="13" spans="1:2" ht="15.75" customHeight="1" x14ac:dyDescent="0.3">
      <c r="A13" s="1" t="s">
        <v>76</v>
      </c>
      <c r="B13" s="1"/>
    </row>
    <row r="14" spans="1:2" ht="15.75" customHeight="1" x14ac:dyDescent="0.3">
      <c r="A14" s="1" t="s">
        <v>77</v>
      </c>
      <c r="B14" s="1"/>
    </row>
    <row r="15" spans="1:2" ht="15.75" customHeight="1" x14ac:dyDescent="0.3">
      <c r="A15" s="1" t="s">
        <v>78</v>
      </c>
      <c r="B15" s="1"/>
    </row>
    <row r="17" spans="1:2" ht="21.75" customHeight="1" x14ac:dyDescent="0.3">
      <c r="A17" s="2" t="s">
        <v>79</v>
      </c>
      <c r="B17" s="2"/>
    </row>
    <row r="18" spans="1:2" ht="15.75" customHeight="1" x14ac:dyDescent="0.3">
      <c r="A18" s="1" t="s">
        <v>80</v>
      </c>
      <c r="B18" s="1"/>
    </row>
    <row r="19" spans="1:2" ht="15.75" customHeight="1" x14ac:dyDescent="0.3">
      <c r="A19" s="1" t="s">
        <v>81</v>
      </c>
      <c r="B19" s="1"/>
    </row>
    <row r="20" spans="1:2" ht="15.75" customHeight="1" x14ac:dyDescent="0.3">
      <c r="A20" s="1"/>
      <c r="B20" s="1"/>
    </row>
    <row r="21" spans="1:2" ht="15.75" customHeight="1" x14ac:dyDescent="0.3">
      <c r="A21" s="1" t="s">
        <v>67</v>
      </c>
      <c r="B21" s="1"/>
    </row>
    <row r="22" spans="1:2" ht="15.75" customHeight="1" x14ac:dyDescent="0.3">
      <c r="A22" s="1" t="s">
        <v>82</v>
      </c>
      <c r="B22" s="1"/>
    </row>
    <row r="23" spans="1:2" ht="15.75" customHeight="1" x14ac:dyDescent="0.3">
      <c r="A23" s="1" t="s">
        <v>83</v>
      </c>
      <c r="B23" s="1"/>
    </row>
    <row r="24" spans="1:2" ht="15.75" customHeight="1" x14ac:dyDescent="0.3">
      <c r="A24" s="1" t="s">
        <v>84</v>
      </c>
      <c r="B24" s="1"/>
    </row>
    <row r="25" spans="1:2" ht="15.75" customHeight="1" x14ac:dyDescent="0.3">
      <c r="A25" s="1" t="s">
        <v>85</v>
      </c>
      <c r="B25" s="1"/>
    </row>
    <row r="26" spans="1:2" ht="15.75" customHeight="1" x14ac:dyDescent="0.3">
      <c r="A26" s="1" t="s">
        <v>86</v>
      </c>
      <c r="B26" s="1"/>
    </row>
    <row r="27" spans="1:2" ht="15.75" customHeight="1" x14ac:dyDescent="0.3">
      <c r="A27" s="1" t="s">
        <v>87</v>
      </c>
      <c r="B27" s="1"/>
    </row>
    <row r="28" spans="1:2" ht="15.75" customHeight="1" x14ac:dyDescent="0.3">
      <c r="A28" s="1" t="s">
        <v>88</v>
      </c>
      <c r="B28" s="1"/>
    </row>
    <row r="29" spans="1:2" ht="15.75" customHeight="1" x14ac:dyDescent="0.3">
      <c r="A29" s="1" t="s">
        <v>89</v>
      </c>
      <c r="B29" s="1"/>
    </row>
    <row r="30" spans="1:2" ht="15.75" customHeight="1" x14ac:dyDescent="0.3">
      <c r="A30" s="1" t="s">
        <v>90</v>
      </c>
      <c r="B30" s="1"/>
    </row>
    <row r="31" spans="1:2" ht="15.75" customHeight="1" x14ac:dyDescent="0.3">
      <c r="A31" s="1" t="s">
        <v>91</v>
      </c>
      <c r="B31" s="1"/>
    </row>
    <row r="32" spans="1:2" ht="15.75" customHeight="1" x14ac:dyDescent="0.3">
      <c r="A32" s="1" t="s">
        <v>92</v>
      </c>
      <c r="B32" s="1"/>
    </row>
    <row r="33" spans="1:2" ht="15.75" customHeight="1" x14ac:dyDescent="0.3">
      <c r="A33" s="1" t="s">
        <v>93</v>
      </c>
      <c r="B33" s="1"/>
    </row>
    <row r="34" spans="1:2" ht="15.75" customHeight="1" x14ac:dyDescent="0.3">
      <c r="A34" s="1" t="s">
        <v>77</v>
      </c>
      <c r="B34" s="1"/>
    </row>
    <row r="35" spans="1:2" ht="15.75" customHeight="1" x14ac:dyDescent="0.3">
      <c r="A35" s="1" t="s">
        <v>94</v>
      </c>
      <c r="B35" s="1"/>
    </row>
  </sheetData>
  <mergeCells count="33">
    <mergeCell ref="A33:B33"/>
    <mergeCell ref="A34:B34"/>
    <mergeCell ref="A35:B35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7:B17"/>
    <mergeCell ref="A7:B7"/>
    <mergeCell ref="A8:B8"/>
    <mergeCell ref="A9:B9"/>
    <mergeCell ref="A10:B10"/>
    <mergeCell ref="A11:B11"/>
    <mergeCell ref="A1:B1"/>
    <mergeCell ref="A3:B3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4438057-1d4c-4652-ac18-d7ed3908dfa0}" enabled="0" method="" siteId="{54438057-1d4c-4652-ac18-d7ed3908df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Fontes e Links</vt:lpstr>
      <vt:lpstr>2. Dados Brutos</vt:lpstr>
      <vt:lpstr>3. Variáveis Calculadas</vt:lpstr>
      <vt:lpstr>4. Power Query (M Code)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Diamandis</cp:lastModifiedBy>
  <cp:revision>0</cp:revision>
  <dcterms:created xsi:type="dcterms:W3CDTF">2026-04-14T16:52:56Z</dcterms:created>
  <dcterms:modified xsi:type="dcterms:W3CDTF">2026-04-14T16:59:57Z</dcterms:modified>
  <dc:language>en-US</dc:language>
</cp:coreProperties>
</file>